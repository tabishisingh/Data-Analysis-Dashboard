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lenovo\Desktop\"/>
    </mc:Choice>
  </mc:AlternateContent>
  <bookViews>
    <workbookView xWindow="0" yWindow="0" windowWidth="23040" windowHeight="9384"/>
  </bookViews>
  <sheets>
    <sheet name="Dashboard" sheetId="2" r:id="rId1"/>
    <sheet name="raw data" sheetId="1" r:id="rId2"/>
  </sheets>
  <definedNames>
    <definedName name="Slicer_Region">#N/A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<sst xmlns="http://schemas.openxmlformats.org/spreadsheetml/2006/main" count="463" uniqueCount="306">
  <si>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</si>
  <si>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</si>
  <si>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</si>
  <si>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</si>
  <si>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</si>
  <si>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</si>
  <si>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</si>
  <si>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</si>
  <si>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</si>
  <si>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</si>
  <si>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</si>
  <si>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</si>
  <si>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</si>
  <si>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</si>
  <si>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</si>
  <si>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</si>
  <si>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</si>
  <si>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</si>
  <si>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</si>
  <si>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</si>
  <si>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</si>
  <si>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</si>
  <si>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</si>
  <si>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</si>
  <si>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</si>
  <si>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</si>
  <si>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</si>
  <si>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</si>
  <si>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</si>
  <si>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</si>
  <si>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</si>
  <si>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</si>
  <si>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</si>
  <si>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</si>
  <si>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</si>
  <si>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</si>
  <si>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</si>
  <si>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</si>
  <si>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</si>
  <si>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</si>
  <si>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</si>
  <si>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</si>
  <si>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</si>
  <si>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</si>
  <si>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</si>
  <si>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</si>
  <si>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</si>
  <si>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</si>
  <si>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</si>
  <si>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</si>
  <si>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</si>
  <si>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</si>
  <si>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</si>
  <si>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</si>
  <si>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</si>
  <si>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</si>
  <si>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</si>
  <si>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</si>
  <si>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</si>
  <si>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</si>
  <si>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</si>
  <si>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</si>
  <si>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</si>
  <si>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</si>
  <si>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</si>
  <si>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</si>
  <si>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</si>
  <si>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</si>
  <si>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</si>
  <si>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</si>
  <si>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</si>
  <si>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</si>
  <si>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</si>
  <si>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</si>
  <si>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</si>
  <si>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</si>
  <si>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</si>
  <si>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</si>
  <si>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</si>
  <si>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</si>
  <si>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</si>
  <si>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</si>
  <si>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</si>
  <si>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</si>
  <si>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</si>
  <si>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</si>
  <si>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</si>
  <si>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</si>
  <si>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</si>
  <si>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</si>
  <si>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</si>
  <si>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</si>
  <si>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</si>
  <si>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</si>
  <si>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</si>
  <si>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</si>
  <si>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</si>
  <si>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</si>
  <si>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</si>
  <si>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</si>
  <si>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</si>
  <si>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</si>
  <si>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</si>
  <si>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</si>
  <si>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</si>
  <si>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</si>
  <si>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</si>
  <si>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</si>
  <si>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</si>
  <si>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</si>
  <si>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</si>
  <si>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</si>
  <si>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</si>
  <si>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</si>
  <si>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</si>
  <si>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</si>
  <si>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</si>
  <si>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</si>
  <si>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</si>
  <si>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</si>
  <si>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</si>
  <si>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</si>
  <si>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</si>
  <si>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</si>
  <si>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</si>
  <si>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</si>
  <si>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</si>
  <si>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</si>
  <si>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</si>
  <si>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</si>
  <si>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</si>
  <si>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</si>
  <si>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</si>
  <si>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</si>
  <si>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</si>
  <si>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</si>
  <si>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</si>
  <si>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</si>
  <si>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</si>
  <si>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</si>
  <si>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</si>
  <si>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</si>
  <si>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</si>
  <si>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</si>
  <si>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</si>
  <si>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</si>
  <si>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</si>
  <si>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</si>
  <si>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</si>
  <si>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</si>
  <si>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</si>
  <si>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</si>
  <si>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</si>
  <si>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</si>
  <si>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</si>
  <si>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</si>
  <si>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</si>
  <si>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</si>
  <si>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</si>
  <si>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</si>
  <si>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</si>
  <si>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</si>
  <si>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</si>
  <si>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</si>
  <si>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</si>
  <si>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</si>
  <si>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</si>
  <si>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</si>
  <si>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</si>
  <si>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</si>
  <si>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</si>
  <si>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</si>
  <si>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</si>
  <si>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</si>
  <si>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</si>
  <si>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</si>
  <si>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</si>
  <si>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</si>
  <si>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</si>
  <si>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</si>
  <si>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</si>
  <si>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</si>
  <si>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</si>
  <si>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</si>
  <si>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</si>
  <si>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</si>
  <si>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</si>
  <si>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</si>
  <si>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</si>
  <si>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</si>
  <si>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</si>
  <si>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</si>
  <si>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</si>
  <si>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</si>
  <si>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</si>
  <si>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</si>
  <si>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</si>
  <si>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</si>
  <si>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</si>
  <si>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</si>
  <si>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</si>
  <si>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</si>
  <si>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</si>
  <si>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</si>
  <si>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</si>
  <si>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</si>
  <si>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</si>
  <si>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</si>
  <si>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</si>
  <si>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</si>
  <si>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</si>
  <si>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</si>
  <si>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</si>
  <si>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</si>
  <si>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</si>
  <si>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</si>
  <si>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</si>
  <si>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</si>
  <si>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</si>
  <si>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</si>
  <si>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</si>
  <si>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</si>
  <si>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</si>
  <si>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</si>
  <si>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</si>
  <si>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</si>
  <si>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</si>
  <si>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</si>
  <si>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</si>
  <si>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</si>
  <si>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</si>
  <si>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</si>
  <si>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</si>
  <si>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</si>
  <si>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</si>
  <si>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</si>
  <si>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</si>
  <si>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</si>
  <si>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</si>
  <si>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</si>
  <si>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</si>
  <si>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</si>
  <si>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</si>
  <si>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</si>
  <si>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</si>
  <si>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</si>
  <si>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</si>
  <si>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</si>
  <si>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</si>
  <si>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</si>
  <si>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</si>
  <si>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</si>
  <si>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</si>
  <si>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</si>
  <si>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</si>
  <si>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</si>
  <si>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</si>
  <si>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</si>
  <si>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</si>
  <si>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</si>
  <si>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</si>
  <si>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</si>
  <si>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</si>
  <si>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</si>
  <si>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</si>
  <si>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</si>
  <si>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</si>
  <si>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</si>
  <si>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</si>
  <si>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</si>
  <si>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</si>
  <si>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</si>
  <si>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</si>
  <si>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</si>
  <si>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</si>
  <si>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</si>
  <si>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</si>
  <si>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</si>
  <si>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</si>
  <si>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</si>
  <si>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</si>
  <si>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</si>
  <si>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</si>
  <si>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</si>
  <si>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</si>
  <si>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</si>
  <si>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</si>
  <si>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</si>
  <si>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</si>
  <si>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</si>
  <si>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</si>
  <si>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</si>
  <si>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</si>
  <si>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</si>
  <si>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</si>
  <si>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</si>
  <si>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</si>
  <si>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</si>
  <si>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</si>
  <si>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</si>
  <si>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</si>
  <si>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</si>
  <si>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</si>
  <si>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executive</t>
  </si>
  <si>
    <t xml:space="preserve">Away From Target % </t>
  </si>
  <si>
    <t>Target Hit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</si>
</sst>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2">
    <dxf>
      <fill>
        <patternFill>
          <bgColor theme="9" tint="0.39994506668294322"/>
        </patternFill>
      </fill>
    </dxf>
    <dxf>
      <fill>
        <patternFill>
          <bgColor theme="5" tint="-0.24994659260841701"/>
        </patternFill>
      </fill>
    </dxf>
  </dxfs>
  <tableStyles count="2" defaultTableStyle="TableStyleMedium2" defaultPivotStyle="PivotStyleLight16">
    <tableStyle name="Slicer Style 1" pivot="0" table="0" count="5">
      <tableStyleElement type="wholeTable" dxfId="1"/>
    </tableStyle>
    <tableStyle name="Slicer Style 2" pivot="0" table="0" count="1">
      <tableStyleElement type="wholeTable" dxfId="0"/>
    </tableStyle>
  </tableStyles>
  <colors>
    <mruColors>
      <color rgb="FFFF99CC"/>
      <color rgb="FFFC9D68"/>
      <color rgb="FFFFCCFF"/>
    </mruColors>
  </colors>
  <extLst>
    <ext xmlns:x14="http://schemas.microsoft.com/office/spreadsheetml/2009/9/main" uri="{46F421CA-312F-682f-3DD2-61675219B42D}">
      <x14:dxfs count="4">
        <dxf>
          <fill>
            <patternFill>
              <bgColor theme="5" tint="0.79998168889431442"/>
            </patternFill>
          </fill>
        </dxf>
        <dxf>
          <fill>
            <patternFill>
              <bgColor theme="5" tint="0.79998168889431442"/>
            </patternFill>
          </fill>
        </dxf>
        <dxf>
          <fill>
            <patternFill>
              <bgColor rgb="FFFC9D68"/>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c:name>
    <c:fmtId val="0"/>
  </c:pivotSource>
  <c:chart>
    <c:autoTitleDeleted val="1"/>
    <c:pivotFmts>
      <c:pivotFmt>
        <c:idx val="0"/>
        <c:spPr>
          <a:solidFill>
            <a:schemeClr val="accent2">
              <a:lumMod val="60000"/>
              <a:lumOff val="40000"/>
            </a:schemeClr>
          </a:solidFill>
          <a:ln>
            <a:noFill/>
          </a:ln>
          <a:effectLst/>
        </c:spPr>
        <c:marker>
          <c:symbol val="none"/>
        </c:marker>
        <c:dLbl>
          <c:idx val="0"/>
          <c:layout/>
          <c:spPr>
            <a:solidFill>
              <a:schemeClr val="accent3">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5799470264931667"/>
          <c:y val="0.12616469816272965"/>
          <c:w val="0.79955659324568085"/>
          <c:h val="0.79143128781685224"/>
        </c:manualLayout>
      </c:layout>
      <c:barChart>
        <c:barDir val="bar"/>
        <c:grouping val="clustered"/>
        <c:varyColors val="0"/>
        <c:ser>
          <c:idx val="0"/>
          <c:order val="0"/>
          <c:tx>
            <c:strRef>
              <c:f>Dashboard!$B$3</c:f>
              <c:strCache>
                <c:ptCount val="1"/>
                <c:pt idx="0">
                  <c:v>Total</c:v>
                </c:pt>
              </c:strCache>
            </c:strRef>
          </c:tx>
          <c:spPr>
            <a:solidFill>
              <a:schemeClr val="accent2">
                <a:lumMod val="60000"/>
                <a:lumOff val="40000"/>
              </a:schemeClr>
            </a:solidFill>
            <a:ln>
              <a:noFill/>
            </a:ln>
            <a:effectLst/>
          </c:spPr>
          <c:invertIfNegative val="0"/>
          <c:dLbls>
            <c:spPr>
              <a:solidFill>
                <a:schemeClr val="accent3">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ser>
        <c:dLbls>
          <c:showLegendKey val="0"/>
          <c:showVal val="0"/>
          <c:showCatName val="0"/>
          <c:showSerName val="0"/>
          <c:showPercent val="0"/>
          <c:showBubbleSize val="0"/>
        </c:dLbls>
        <c:gapWidth val="182"/>
        <c:axId val="-820286864"/>
        <c:axId val="-877928416"/>
      </c:barChart>
      <c:catAx>
        <c:axId val="-820286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928416"/>
        <c:crosses val="autoZero"/>
        <c:auto val="1"/>
        <c:lblAlgn val="ctr"/>
        <c:lblOffset val="100"/>
        <c:noMultiLvlLbl val="0"/>
      </c:catAx>
      <c:valAx>
        <c:axId val="-877928416"/>
        <c:scaling>
          <c:orientation val="minMax"/>
        </c:scaling>
        <c:delete val="1"/>
        <c:axPos val="b"/>
        <c:numFmt formatCode="General" sourceLinked="1"/>
        <c:majorTickMark val="none"/>
        <c:minorTickMark val="none"/>
        <c:tickLblPos val="nextTo"/>
        <c:crossAx val="-820286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[Book1.xlsm]Dashboard!PivotTable5</c:name>
    <c:fmtId val="0"/>
  </c:pivotSource>
  <c:chart>
    <c:autoTitleDeleted val="1"/>
    <c:pivotFmts>
      <c:pivotFmt>
        <c:idx val="0"/>
        <c:spPr>
          <a:solidFill>
            <a:schemeClr val="accent2"/>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2">
              <a:shade val="53000"/>
            </a:schemeClr>
          </a:solidFill>
          <a:ln>
            <a:noFill/>
          </a:ln>
          <a:effectLst>
            <a:outerShdw blurRad="254000" sx="102000" sy="102000" algn="ctr" rotWithShape="0">
              <a:prstClr val="black">
                <a:alpha val="20000"/>
              </a:prstClr>
            </a:outerShdw>
          </a:effectLst>
        </c:spPr>
      </c:pivotFmt>
      <c:pivotFmt>
        <c:idx val="2"/>
        <c:spPr>
          <a:solidFill>
            <a:schemeClr val="accent2">
              <a:shade val="76000"/>
            </a:schemeClr>
          </a:solidFill>
          <a:ln>
            <a:noFill/>
          </a:ln>
          <a:effectLst>
            <a:outerShdw blurRad="254000" sx="102000" sy="102000" algn="ctr" rotWithShape="0">
              <a:prstClr val="black">
                <a:alpha val="20000"/>
              </a:prstClr>
            </a:outerShdw>
          </a:effectLst>
        </c:spPr>
      </c:pivotFmt>
      <c:pivotFmt>
        <c:idx val="3"/>
        <c:spPr>
          <a:solidFill>
            <a:schemeClr val="accent2"/>
          </a:solidFill>
          <a:ln>
            <a:noFill/>
          </a:ln>
          <a:effectLst>
            <a:outerShdw blurRad="254000" sx="102000" sy="102000" algn="ctr" rotWithShape="0">
              <a:prstClr val="black">
                <a:alpha val="20000"/>
              </a:prstClr>
            </a:outerShdw>
          </a:effectLst>
        </c:spPr>
      </c:pivotFmt>
      <c:pivotFmt>
        <c:idx val="4"/>
        <c:spPr>
          <a:solidFill>
            <a:schemeClr val="accent2">
              <a:tint val="77000"/>
            </a:schemeClr>
          </a:solidFill>
          <a:ln>
            <a:noFill/>
          </a:ln>
          <a:effectLst>
            <a:outerShdw blurRad="254000" sx="102000" sy="102000" algn="ctr" rotWithShape="0">
              <a:prstClr val="black">
                <a:alpha val="20000"/>
              </a:prstClr>
            </a:outerShdw>
          </a:effectLst>
        </c:spPr>
      </c:pivotFmt>
      <c:pivotFmt>
        <c:idx val="5"/>
        <c:spPr>
          <a:solidFill>
            <a:schemeClr val="accent2">
              <a:tint val="54000"/>
            </a:schemeClr>
          </a:solidFill>
          <a:ln>
            <a:noFill/>
          </a:ln>
          <a:effectLst>
            <a:outerShdw blurRad="254000" sx="102000" sy="102000" algn="ctr" rotWithShape="0">
              <a:prstClr val="black">
                <a:alpha val="20000"/>
              </a:prstClr>
            </a:outerShdw>
          </a:effectLst>
        </c:spPr>
      </c:pivotFmt>
      <c:pivotFmt>
        <c:idx val="6"/>
        <c:spPr>
          <a:solidFill>
            <a:schemeClr val="accent2">
              <a:shade val="53000"/>
            </a:schemeClr>
          </a:solidFill>
          <a:ln>
            <a:noFill/>
          </a:ln>
          <a:effectLst>
            <a:outerShdw blurRad="254000" sx="102000" sy="102000" algn="ctr" rotWithShape="0">
              <a:prstClr val="black">
                <a:alpha val="20000"/>
              </a:prstClr>
            </a:outerShdw>
          </a:effectLst>
        </c:spPr>
      </c:pivotFmt>
      <c:pivotFmt>
        <c:idx val="7"/>
        <c:spPr>
          <a:solidFill>
            <a:schemeClr val="accent2">
              <a:shade val="76000"/>
            </a:schemeClr>
          </a:solidFill>
          <a:ln>
            <a:noFill/>
          </a:ln>
          <a:effectLst>
            <a:outerShdw blurRad="254000" sx="102000" sy="102000" algn="ctr" rotWithShape="0">
              <a:prstClr val="black">
                <a:alpha val="20000"/>
              </a:prstClr>
            </a:outerShdw>
          </a:effectLst>
        </c:spPr>
      </c:pivotFmt>
      <c:pivotFmt>
        <c:idx val="8"/>
        <c:spPr>
          <a:solidFill>
            <a:schemeClr val="accent2"/>
          </a:solidFill>
          <a:ln>
            <a:noFill/>
          </a:ln>
          <a:effectLst>
            <a:outerShdw blurRad="254000" sx="102000" sy="102000" algn="ctr" rotWithShape="0">
              <a:prstClr val="black">
                <a:alpha val="20000"/>
              </a:prstClr>
            </a:outerShdw>
          </a:effectLst>
        </c:spPr>
      </c:pivotFmt>
      <c:pivotFmt>
        <c:idx val="9"/>
        <c:spPr>
          <a:solidFill>
            <a:schemeClr val="accent2">
              <a:tint val="77000"/>
            </a:schemeClr>
          </a:solidFill>
          <a:ln>
            <a:noFill/>
          </a:ln>
          <a:effectLst>
            <a:outerShdw blurRad="254000" sx="102000" sy="102000" algn="ctr" rotWithShape="0">
              <a:prstClr val="black">
                <a:alpha val="20000"/>
              </a:prstClr>
            </a:outerShdw>
          </a:effectLst>
        </c:spPr>
      </c:pivotFmt>
      <c:pivotFmt>
        <c:idx val="10"/>
        <c:spPr>
          <a:solidFill>
            <a:schemeClr val="accent2">
              <a:tint val="54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2">
                  <a:shade val="53000"/>
                </a:schemeClr>
              </a:solidFill>
              <a:ln>
                <a:noFill/>
              </a:ln>
              <a:effectLst>
                <a:outerShdw blurRad="254000" sx="102000" sy="102000" algn="ctr" rotWithShape="0">
                  <a:prstClr val="black">
                    <a:alpha val="20000"/>
                  </a:prstClr>
                </a:outerShdw>
              </a:effectLst>
            </c:spPr>
          </c:dPt>
          <c:dPt>
            <c:idx val="1"/>
            <c:bubble3D val="0"/>
            <c:spPr>
              <a:solidFill>
                <a:schemeClr val="accent2">
                  <a:shade val="76000"/>
                </a:schemeClr>
              </a:solidFill>
              <a:ln>
                <a:noFill/>
              </a:ln>
              <a:effectLst>
                <a:outerShdw blurRad="254000" sx="102000" sy="102000" algn="ctr" rotWithShape="0">
                  <a:prstClr val="black">
                    <a:alpha val="20000"/>
                  </a:prstClr>
                </a:outerShdw>
              </a:effectLst>
            </c:spPr>
          </c:dPt>
          <c:dPt>
            <c:idx val="2"/>
            <c:bubble3D val="0"/>
            <c:spPr>
              <a:solidFill>
                <a:schemeClr val="accent2"/>
              </a:solidFill>
              <a:ln>
                <a:noFill/>
              </a:ln>
              <a:effectLst>
                <a:outerShdw blurRad="254000" sx="102000" sy="102000" algn="ctr" rotWithShape="0">
                  <a:prstClr val="black">
                    <a:alpha val="20000"/>
                  </a:prstClr>
                </a:outerShdw>
              </a:effectLst>
            </c:spPr>
          </c:dPt>
          <c:dPt>
            <c:idx val="3"/>
            <c:bubble3D val="0"/>
            <c:spPr>
              <a:solidFill>
                <a:schemeClr val="accent2">
                  <a:tint val="77000"/>
                </a:schemeClr>
              </a:solidFill>
              <a:ln>
                <a:noFill/>
              </a:ln>
              <a:effectLst>
                <a:outerShdw blurRad="254000" sx="102000" sy="102000" algn="ctr" rotWithShape="0">
                  <a:prstClr val="black">
                    <a:alpha val="20000"/>
                  </a:prstClr>
                </a:outerShdw>
              </a:effectLst>
            </c:spPr>
          </c:dPt>
          <c:dPt>
            <c:idx val="4"/>
            <c:bubble3D val="0"/>
            <c:spPr>
              <a:solidFill>
                <a:schemeClr val="accent2">
                  <a:tint val="54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[Book1.xlsm]Dashboard!PivotTable6</c:name>
    <c:fmtId val="0"/>
  </c:pivotSource>
  <c:chart>
    <c:autoTitleDeleted val="1"/>
    <c:pivotFmts>
      <c:pivotFmt>
        <c:idx val="0"/>
        <c:spPr>
          <a:ln w="28575" cap="rnd">
            <a:solidFill>
              <a:schemeClr val="accent1"/>
            </a:solidFill>
            <a:round/>
          </a:ln>
          <a:effectLst/>
        </c:spPr>
        <c:marker>
          <c:symbol val="none"/>
        </c:marker>
        <c:dLbl>
          <c:idx val="0"/>
          <c:layout/>
          <c:spPr>
            <a:solidFill>
              <a:schemeClr val="tx1">
                <a:lumMod val="50000"/>
                <a:lumOff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6931416181672957E-2"/>
          <c:y val="9.3567251461988299E-2"/>
          <c:w val="0.84322267333770784"/>
          <c:h val="0.5846323156973799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1">
                  <a:lumMod val="50000"/>
                  <a:lumOff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ser>
        <c:dLbls>
          <c:showLegendKey val="0"/>
          <c:showVal val="0"/>
          <c:showCatName val="0"/>
          <c:showSerName val="0"/>
          <c:showPercent val="0"/>
          <c:showBubbleSize val="0"/>
        </c:dLbls>
        <c:smooth val="0"/>
        <c:axId val="-719098480"/>
        <c:axId val="-719094672"/>
      </c:lineChart>
      <c:catAx>
        <c:axId val="-71909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094672"/>
        <c:crosses val="autoZero"/>
        <c:auto val="1"/>
        <c:lblAlgn val="ctr"/>
        <c:lblOffset val="100"/>
        <c:noMultiLvlLbl val="0"/>
      </c:catAx>
      <c:valAx>
        <c:axId val="-719094672"/>
        <c:scaling>
          <c:orientation val="minMax"/>
        </c:scaling>
        <c:delete val="1"/>
        <c:axPos val="l"/>
        <c:numFmt formatCode="0.00%" sourceLinked="1"/>
        <c:majorTickMark val="none"/>
        <c:minorTickMark val="none"/>
        <c:tickLblPos val="nextTo"/>
        <c:crossAx val="-719098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87085</xdr:colOff>
      <xdr:row>8</xdr:row>
      <xdr:rowOff>141514</xdr:rowOff>
    </xdr:from>
    <xdr:to>
      <xdr:col>4</xdr:col>
      <xdr:colOff>182880</xdr:colOff>
      <xdr:row>20</xdr:row>
      <xdr:rowOff>141514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289560</xdr:colOff>
      <xdr:row>8</xdr:row>
      <xdr:rowOff>152400</xdr:rowOff>
    </xdr:from>
    <xdr:to>
      <xdr:col>7</xdr:col>
      <xdr:colOff>784860</xdr:colOff>
      <xdr:row>20</xdr:row>
      <xdr:rowOff>99060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944880</xdr:colOff>
      <xdr:row>8</xdr:row>
      <xdr:rowOff>144780</xdr:rowOff>
    </xdr:from>
    <xdr:to>
      <xdr:col>11</xdr:col>
      <xdr:colOff>15240</xdr:colOff>
      <xdr:row>20</xdr:row>
      <xdr:rowOff>106680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58420</xdr:colOff>
      <xdr:row>0</xdr:row>
      <xdr:rowOff>96702</xdr:rowOff>
    </xdr:from>
    <xdr:to>
      <xdr:col>10</xdr:col>
      <xdr:colOff>1471386</xdr:colOff>
      <xdr:row>1</xdr:row>
      <xdr:rowOff>279582</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8420" y="96702"/>
              <a:ext cx="10595066" cy="551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426720</xdr:colOff>
      <xdr:row>1</xdr:row>
      <xdr:rowOff>388620</xdr:rowOff>
    </xdr:from>
    <xdr:to>
      <xdr:col>3</xdr:col>
      <xdr:colOff>1082040</xdr:colOff>
      <xdr:row>1</xdr:row>
      <xdr:rowOff>716280</xdr:rowOff>
    </xdr:to>
    <xdr:sp macro="" textlink="">
      <xdr:nvSpPr>
        <xdr:cNvPr id="12" name="Rectangular Callout 11"/>
        <xdr:cNvSpPr/>
      </xdr:nvSpPr>
      <xdr:spPr>
        <a:xfrm>
          <a:off x="2827020" y="754380"/>
          <a:ext cx="655320" cy="327660"/>
        </a:xfrm>
        <a:prstGeom prst="wedge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480060</xdr:colOff>
          <xdr:row>1</xdr:row>
          <xdr:rowOff>441960</xdr:rowOff>
        </xdr:from>
        <xdr:to>
          <xdr:col>3</xdr:col>
          <xdr:colOff>1188720</xdr:colOff>
          <xdr:row>1</xdr:row>
          <xdr:rowOff>655320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table2</a:t>
              </a:r>
            </a:p>
          </xdr:txBody>
        </xdr:sp>
        <xdr:clientData/>
      </xdr:twoCellAnchor>
    </mc:Choice>
    <mc:Fallback/>
  </mc:AlternateContent>
  <xdr:twoCellAnchor>
    <xdr:from>
      <xdr:col>6</xdr:col>
      <xdr:colOff>541020</xdr:colOff>
      <xdr:row>1</xdr:row>
      <xdr:rowOff>365760</xdr:rowOff>
    </xdr:from>
    <xdr:to>
      <xdr:col>6</xdr:col>
      <xdr:colOff>1196340</xdr:colOff>
      <xdr:row>1</xdr:row>
      <xdr:rowOff>693420</xdr:rowOff>
    </xdr:to>
    <xdr:sp macro="" textlink="">
      <xdr:nvSpPr>
        <xdr:cNvPr id="13" name="Rectangular Callout 12"/>
        <xdr:cNvSpPr/>
      </xdr:nvSpPr>
      <xdr:spPr>
        <a:xfrm>
          <a:off x="5341620" y="731520"/>
          <a:ext cx="655320" cy="327660"/>
        </a:xfrm>
        <a:prstGeom prst="wedge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571500</xdr:colOff>
          <xdr:row>1</xdr:row>
          <xdr:rowOff>441960</xdr:rowOff>
        </xdr:from>
        <xdr:to>
          <xdr:col>6</xdr:col>
          <xdr:colOff>1280160</xdr:colOff>
          <xdr:row>1</xdr:row>
          <xdr:rowOff>655320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table 3</a:t>
              </a:r>
            </a:p>
          </xdr:txBody>
        </xdr:sp>
        <xdr:clientData/>
      </xdr:twoCellAnchor>
    </mc:Choice>
    <mc:Fallback/>
  </mc:AlternateContent>
  <xdr:twoCellAnchor>
    <xdr:from>
      <xdr:col>9</xdr:col>
      <xdr:colOff>350520</xdr:colOff>
      <xdr:row>1</xdr:row>
      <xdr:rowOff>388620</xdr:rowOff>
    </xdr:from>
    <xdr:to>
      <xdr:col>9</xdr:col>
      <xdr:colOff>1005840</xdr:colOff>
      <xdr:row>1</xdr:row>
      <xdr:rowOff>716280</xdr:rowOff>
    </xdr:to>
    <xdr:sp macro="" textlink="">
      <xdr:nvSpPr>
        <xdr:cNvPr id="14" name="Rectangular Callout 13"/>
        <xdr:cNvSpPr/>
      </xdr:nvSpPr>
      <xdr:spPr>
        <a:xfrm>
          <a:off x="8183880" y="754380"/>
          <a:ext cx="655320" cy="327660"/>
        </a:xfrm>
        <a:prstGeom prst="wedge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381000</xdr:colOff>
          <xdr:row>1</xdr:row>
          <xdr:rowOff>441960</xdr:rowOff>
        </xdr:from>
        <xdr:to>
          <xdr:col>9</xdr:col>
          <xdr:colOff>1089660</xdr:colOff>
          <xdr:row>1</xdr:row>
          <xdr:rowOff>655320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table4</a:t>
              </a:r>
            </a:p>
          </xdr:txBody>
        </xdr:sp>
        <xdr:clientData/>
      </xdr:twoCellAnchor>
    </mc:Choice>
    <mc:Fallback/>
  </mc:AlternateContent>
  <xdr:twoCellAnchor>
    <xdr:from>
      <xdr:col>0</xdr:col>
      <xdr:colOff>144780</xdr:colOff>
      <xdr:row>1</xdr:row>
      <xdr:rowOff>396240</xdr:rowOff>
    </xdr:from>
    <xdr:to>
      <xdr:col>0</xdr:col>
      <xdr:colOff>800100</xdr:colOff>
      <xdr:row>1</xdr:row>
      <xdr:rowOff>723900</xdr:rowOff>
    </xdr:to>
    <xdr:sp macro="" textlink="">
      <xdr:nvSpPr>
        <xdr:cNvPr id="6" name="Rectangular Callout 5"/>
        <xdr:cNvSpPr/>
      </xdr:nvSpPr>
      <xdr:spPr>
        <a:xfrm>
          <a:off x="144780" y="762000"/>
          <a:ext cx="655320" cy="327660"/>
        </a:xfrm>
        <a:prstGeom prst="wedge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160020</xdr:colOff>
          <xdr:row>1</xdr:row>
          <xdr:rowOff>388620</xdr:rowOff>
        </xdr:from>
        <xdr:to>
          <xdr:col>0</xdr:col>
          <xdr:colOff>1196340</xdr:colOff>
          <xdr:row>1</xdr:row>
          <xdr:rowOff>739140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table1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novo" refreshedDate="46051.989813541666" createdVersion="5" refreshedVersion="5"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x v="0"/>
    <n v="0.32200000000000001"/>
  </r>
  <r>
    <s v="Mum-TCL002"/>
    <x v="1"/>
    <x v="1"/>
    <n v="44"/>
    <n v="85"/>
    <n v="47"/>
    <n v="15"/>
    <n v="48"/>
    <n v="239"/>
    <n v="500"/>
    <x v="1"/>
    <n v="0.52200000000000002"/>
  </r>
  <r>
    <s v="Mum-TCL003"/>
    <x v="2"/>
    <x v="2"/>
    <n v="45"/>
    <n v="79"/>
    <n v="88"/>
    <n v="73"/>
    <n v="94"/>
    <n v="379"/>
    <n v="500"/>
    <x v="2"/>
    <n v="0.24199999999999999"/>
  </r>
  <r>
    <s v="Mum-TCL004"/>
    <x v="3"/>
    <x v="3"/>
    <n v="52"/>
    <n v="99"/>
    <n v="13"/>
    <n v="95"/>
    <n v="29"/>
    <n v="288"/>
    <n v="500"/>
    <x v="3"/>
    <n v="0.42399999999999999"/>
  </r>
  <r>
    <s v="Mum-TCL005"/>
    <x v="4"/>
    <x v="4"/>
    <n v="35"/>
    <n v="54"/>
    <n v="49"/>
    <n v="26"/>
    <n v="49"/>
    <n v="213"/>
    <n v="500"/>
    <x v="4"/>
    <n v="0.57399999999999995"/>
  </r>
  <r>
    <s v="Mum-TCL006"/>
    <x v="5"/>
    <x v="5"/>
    <n v="86"/>
    <n v="31"/>
    <n v="23"/>
    <n v="48"/>
    <n v="77"/>
    <n v="265"/>
    <n v="500"/>
    <x v="5"/>
    <n v="0.47"/>
  </r>
  <r>
    <s v="Mum-TCL007"/>
    <x v="6"/>
    <x v="6"/>
    <n v="84"/>
    <n v="28"/>
    <n v="98"/>
    <n v="80"/>
    <n v="79"/>
    <n v="369"/>
    <n v="500"/>
    <x v="6"/>
    <n v="0.26200000000000001"/>
  </r>
  <r>
    <s v="Mum-TCL008"/>
    <x v="7"/>
    <x v="7"/>
    <n v="73"/>
    <n v="97"/>
    <n v="38"/>
    <n v="24"/>
    <n v="53"/>
    <n v="285"/>
    <n v="500"/>
    <x v="7"/>
    <n v="0.43"/>
  </r>
  <r>
    <s v="Mum-TCL009"/>
    <x v="8"/>
    <x v="0"/>
    <n v="54"/>
    <n v="26"/>
    <n v="53"/>
    <n v="36"/>
    <n v="20"/>
    <n v="189"/>
    <n v="500"/>
    <x v="8"/>
    <n v="0.622"/>
  </r>
  <r>
    <s v="Mum-TCL010"/>
    <x v="9"/>
    <x v="1"/>
    <n v="52"/>
    <n v="52"/>
    <n v="19"/>
    <n v="53"/>
    <n v="37"/>
    <n v="213"/>
    <n v="500"/>
    <x v="4"/>
    <n v="0.57399999999999995"/>
  </r>
  <r>
    <s v="Mum-TCL011"/>
    <x v="10"/>
    <x v="2"/>
    <n v="63"/>
    <n v="17"/>
    <n v="40"/>
    <n v="48"/>
    <n v="51"/>
    <n v="219"/>
    <n v="500"/>
    <x v="9"/>
    <n v="0.56200000000000006"/>
  </r>
  <r>
    <s v="Mum-TCL012"/>
    <x v="11"/>
    <x v="3"/>
    <n v="79"/>
    <n v="99"/>
    <n v="95"/>
    <n v="12"/>
    <n v="91"/>
    <n v="376"/>
    <n v="500"/>
    <x v="10"/>
    <n v="0.248"/>
  </r>
  <r>
    <s v="Mum-TCL013"/>
    <x v="12"/>
    <x v="4"/>
    <n v="95"/>
    <n v="88"/>
    <n v="11"/>
    <n v="78"/>
    <n v="60"/>
    <n v="332"/>
    <n v="500"/>
    <x v="11"/>
    <n v="0.33600000000000002"/>
  </r>
  <r>
    <s v="Mum-TCL014"/>
    <x v="13"/>
    <x v="5"/>
    <n v="83"/>
    <n v="77"/>
    <n v="66"/>
    <n v="22"/>
    <n v="40"/>
    <n v="288"/>
    <n v="500"/>
    <x v="3"/>
    <n v="0.42399999999999999"/>
  </r>
  <r>
    <s v="Mum-TCL015"/>
    <x v="14"/>
    <x v="6"/>
    <n v="78"/>
    <n v="58"/>
    <n v="34"/>
    <n v="84"/>
    <n v="31"/>
    <n v="285"/>
    <n v="500"/>
    <x v="7"/>
    <n v="0.43"/>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799999999999998"/>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
  </r>
  <r>
    <s v="Mum-TCL026"/>
    <x v="25"/>
    <x v="1"/>
    <n v="16"/>
    <n v="71"/>
    <n v="80"/>
    <n v="76"/>
    <n v="33"/>
    <n v="276"/>
    <n v="500"/>
    <x v="22"/>
    <n v="0.44800000000000001"/>
  </r>
  <r>
    <s v="Mum-TCL027"/>
    <x v="26"/>
    <x v="2"/>
    <n v="72"/>
    <n v="87"/>
    <n v="92"/>
    <n v="72"/>
    <n v="34"/>
    <n v="357"/>
    <n v="500"/>
    <x v="23"/>
    <n v="0.28599999999999998"/>
  </r>
  <r>
    <s v="Mum-TCL028"/>
    <x v="27"/>
    <x v="3"/>
    <n v="30"/>
    <n v="38"/>
    <n v="70"/>
    <n v="89"/>
    <n v="97"/>
    <n v="324"/>
    <n v="500"/>
    <x v="24"/>
    <n v="0.35199999999999998"/>
  </r>
  <r>
    <s v="Mum-TCL029"/>
    <x v="28"/>
    <x v="4"/>
    <n v="65"/>
    <n v="90"/>
    <n v="91"/>
    <n v="85"/>
    <n v="10"/>
    <n v="341"/>
    <n v="500"/>
    <x v="25"/>
    <n v="0.318"/>
  </r>
  <r>
    <s v="Mum-TCL030"/>
    <x v="29"/>
    <x v="5"/>
    <n v="83"/>
    <n v="46"/>
    <n v="99"/>
    <n v="36"/>
    <n v="89"/>
    <n v="353"/>
    <n v="500"/>
    <x v="26"/>
    <n v="0.29399999999999998"/>
  </r>
  <r>
    <s v="Mum-TCL031"/>
    <x v="30"/>
    <x v="6"/>
    <n v="10"/>
    <n v="66"/>
    <n v="40"/>
    <n v="22"/>
    <n v="38"/>
    <n v="176"/>
    <n v="500"/>
    <x v="27"/>
    <n v="0.64800000000000002"/>
  </r>
  <r>
    <s v="Mum-TCL032"/>
    <x v="31"/>
    <x v="7"/>
    <n v="37"/>
    <n v="30"/>
    <n v="19"/>
    <n v="77"/>
    <n v="67"/>
    <n v="230"/>
    <n v="500"/>
    <x v="28"/>
    <n v="0.54"/>
  </r>
  <r>
    <s v="Mum-TCL033"/>
    <x v="32"/>
    <x v="0"/>
    <n v="83"/>
    <n v="46"/>
    <n v="17"/>
    <n v="94"/>
    <n v="92"/>
    <n v="332"/>
    <n v="500"/>
    <x v="11"/>
    <n v="0.33600000000000002"/>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199999999999995"/>
  </r>
  <r>
    <s v="Mum-TCL037"/>
    <x v="36"/>
    <x v="4"/>
    <n v="91"/>
    <n v="13"/>
    <n v="79"/>
    <n v="85"/>
    <n v="67"/>
    <n v="335"/>
    <n v="500"/>
    <x v="32"/>
    <n v="0.33"/>
  </r>
  <r>
    <s v="Mum-TCL038"/>
    <x v="37"/>
    <x v="5"/>
    <n v="66"/>
    <n v="59"/>
    <n v="25"/>
    <n v="55"/>
    <n v="59"/>
    <n v="264"/>
    <n v="500"/>
    <x v="33"/>
    <n v="0.47199999999999998"/>
  </r>
  <r>
    <s v="Mum-TCL039"/>
    <x v="38"/>
    <x v="6"/>
    <n v="70"/>
    <n v="18"/>
    <n v="88"/>
    <n v="46"/>
    <n v="52"/>
    <n v="274"/>
    <n v="500"/>
    <x v="34"/>
    <n v="0.45200000000000001"/>
  </r>
  <r>
    <s v="Mum-TCL040"/>
    <x v="39"/>
    <x v="7"/>
    <n v="37"/>
    <n v="60"/>
    <n v="44"/>
    <n v="61"/>
    <n v="30"/>
    <n v="232"/>
    <n v="500"/>
    <x v="35"/>
    <n v="0.53600000000000003"/>
  </r>
  <r>
    <s v="Mum-TCL041"/>
    <x v="40"/>
    <x v="0"/>
    <n v="16"/>
    <n v="46"/>
    <n v="33"/>
    <n v="54"/>
    <n v="58"/>
    <n v="207"/>
    <n v="500"/>
    <x v="36"/>
    <n v="0.58599999999999997"/>
  </r>
  <r>
    <s v="Mum-TCL042"/>
    <x v="41"/>
    <x v="1"/>
    <n v="47"/>
    <n v="97"/>
    <n v="74"/>
    <n v="97"/>
    <n v="56"/>
    <n v="371"/>
    <n v="500"/>
    <x v="37"/>
    <n v="0.25800000000000001"/>
  </r>
  <r>
    <s v="Mum-TCL043"/>
    <x v="42"/>
    <x v="2"/>
    <n v="86"/>
    <n v="22"/>
    <n v="10"/>
    <n v="60"/>
    <n v="28"/>
    <n v="206"/>
    <n v="500"/>
    <x v="38"/>
    <n v="0.58799999999999997"/>
  </r>
  <r>
    <s v="Mum-TCL044"/>
    <x v="43"/>
    <x v="3"/>
    <n v="74"/>
    <n v="17"/>
    <n v="45"/>
    <n v="64"/>
    <n v="13"/>
    <n v="213"/>
    <n v="500"/>
    <x v="4"/>
    <n v="0.57399999999999995"/>
  </r>
  <r>
    <s v="Mum-TCL045"/>
    <x v="44"/>
    <x v="4"/>
    <n v="80"/>
    <n v="51"/>
    <n v="15"/>
    <n v="97"/>
    <n v="42"/>
    <n v="285"/>
    <n v="500"/>
    <x v="7"/>
    <n v="0.43"/>
  </r>
  <r>
    <s v="Mum-TCL046"/>
    <x v="45"/>
    <x v="5"/>
    <n v="49"/>
    <n v="82"/>
    <n v="95"/>
    <n v="46"/>
    <n v="78"/>
    <n v="350"/>
    <n v="500"/>
    <x v="39"/>
    <n v="0.3"/>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599999999999998"/>
  </r>
  <r>
    <s v="Mum-TCL050"/>
    <x v="49"/>
    <x v="1"/>
    <n v="17"/>
    <n v="84"/>
    <n v="90"/>
    <n v="77"/>
    <n v="72"/>
    <n v="340"/>
    <n v="500"/>
    <x v="43"/>
    <n v="0.32"/>
  </r>
  <r>
    <s v="Mum-TCL051"/>
    <x v="50"/>
    <x v="2"/>
    <n v="52"/>
    <n v="36"/>
    <n v="84"/>
    <n v="41"/>
    <n v="57"/>
    <n v="270"/>
    <n v="500"/>
    <x v="44"/>
    <n v="0.4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
  </r>
  <r>
    <s v="Mum-TCL058"/>
    <x v="57"/>
    <x v="1"/>
    <n v="34"/>
    <n v="97"/>
    <n v="66"/>
    <n v="45"/>
    <n v="50"/>
    <n v="292"/>
    <n v="500"/>
    <x v="42"/>
    <n v="0.41599999999999998"/>
  </r>
  <r>
    <s v="Mum-TCL059"/>
    <x v="58"/>
    <x v="2"/>
    <n v="83"/>
    <n v="12"/>
    <n v="70"/>
    <n v="83"/>
    <n v="52"/>
    <n v="300"/>
    <n v="500"/>
    <x v="49"/>
    <n v="0.4"/>
  </r>
  <r>
    <s v="Mum-TCL060"/>
    <x v="59"/>
    <x v="3"/>
    <n v="76"/>
    <n v="55"/>
    <n v="56"/>
    <n v="16"/>
    <n v="61"/>
    <n v="264"/>
    <n v="500"/>
    <x v="33"/>
    <n v="0.47199999999999998"/>
  </r>
  <r>
    <s v="Mum-TCL061"/>
    <x v="60"/>
    <x v="4"/>
    <n v="40"/>
    <n v="70"/>
    <n v="19"/>
    <n v="36"/>
    <n v="52"/>
    <n v="217"/>
    <n v="500"/>
    <x v="50"/>
    <n v="0.56599999999999995"/>
  </r>
  <r>
    <s v="Mum-TCL062"/>
    <x v="61"/>
    <x v="5"/>
    <n v="44"/>
    <n v="60"/>
    <n v="71"/>
    <n v="34"/>
    <n v="37"/>
    <n v="246"/>
    <n v="500"/>
    <x v="51"/>
    <n v="0.50800000000000001"/>
  </r>
  <r>
    <s v="Mum-TCL063"/>
    <x v="62"/>
    <x v="6"/>
    <n v="43"/>
    <n v="78"/>
    <n v="15"/>
    <n v="98"/>
    <n v="33"/>
    <n v="267"/>
    <n v="500"/>
    <x v="52"/>
    <n v="0.46600000000000003"/>
  </r>
  <r>
    <s v="Mum-TCL064"/>
    <x v="63"/>
    <x v="7"/>
    <n v="75"/>
    <n v="75"/>
    <n v="89"/>
    <n v="97"/>
    <n v="49"/>
    <n v="385"/>
    <n v="500"/>
    <x v="53"/>
    <n v="0.23"/>
  </r>
  <r>
    <s v="Mum-TCL065"/>
    <x v="64"/>
    <x v="0"/>
    <n v="74"/>
    <n v="51"/>
    <n v="97"/>
    <n v="73"/>
    <n v="33"/>
    <n v="328"/>
    <n v="500"/>
    <x v="54"/>
    <n v="0.34399999999999997"/>
  </r>
  <r>
    <s v="Mum-TCL066"/>
    <x v="65"/>
    <x v="1"/>
    <n v="44"/>
    <n v="36"/>
    <n v="11"/>
    <n v="45"/>
    <n v="30"/>
    <n v="166"/>
    <n v="500"/>
    <x v="55"/>
    <n v="0.66800000000000004"/>
  </r>
  <r>
    <s v="Mum-TCL067"/>
    <x v="66"/>
    <x v="2"/>
    <n v="87"/>
    <n v="79"/>
    <n v="46"/>
    <n v="65"/>
    <n v="65"/>
    <n v="342"/>
    <n v="500"/>
    <x v="56"/>
    <n v="0.316"/>
  </r>
  <r>
    <s v="Mum-TCL068"/>
    <x v="67"/>
    <x v="3"/>
    <n v="70"/>
    <n v="52"/>
    <n v="80"/>
    <n v="43"/>
    <n v="48"/>
    <n v="293"/>
    <n v="500"/>
    <x v="57"/>
    <n v="0.41399999999999998"/>
  </r>
  <r>
    <s v="Mum-TCL069"/>
    <x v="68"/>
    <x v="4"/>
    <n v="45"/>
    <n v="26"/>
    <n v="27"/>
    <n v="14"/>
    <n v="59"/>
    <n v="171"/>
    <n v="500"/>
    <x v="58"/>
    <n v="0.65800000000000003"/>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399999999999996"/>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599999999999999"/>
  </r>
  <r>
    <s v="Mum-TCL077"/>
    <x v="76"/>
    <x v="4"/>
    <n v="98"/>
    <n v="15"/>
    <n v="72"/>
    <n v="67"/>
    <n v="34"/>
    <n v="286"/>
    <n v="500"/>
    <x v="66"/>
    <n v="0.42799999999999999"/>
  </r>
  <r>
    <s v="Mum-TCL078"/>
    <x v="77"/>
    <x v="5"/>
    <n v="50"/>
    <n v="44"/>
    <n v="46"/>
    <n v="13"/>
    <n v="92"/>
    <n v="245"/>
    <n v="500"/>
    <x v="67"/>
    <n v="0.51"/>
  </r>
  <r>
    <s v="Mum-TCL079"/>
    <x v="78"/>
    <x v="6"/>
    <n v="40"/>
    <n v="82"/>
    <n v="72"/>
    <n v="42"/>
    <n v="45"/>
    <n v="281"/>
    <n v="500"/>
    <x v="68"/>
    <n v="0.438"/>
  </r>
  <r>
    <s v="Mum-TCL080"/>
    <x v="79"/>
    <x v="7"/>
    <n v="23"/>
    <n v="83"/>
    <n v="63"/>
    <n v="65"/>
    <n v="83"/>
    <n v="317"/>
    <n v="500"/>
    <x v="69"/>
    <n v="0.36599999999999999"/>
  </r>
  <r>
    <s v="Mum-TCL081"/>
    <x v="80"/>
    <x v="0"/>
    <n v="71"/>
    <n v="94"/>
    <n v="45"/>
    <n v="95"/>
    <n v="46"/>
    <n v="351"/>
    <n v="500"/>
    <x v="70"/>
    <n v="0.29799999999999999"/>
  </r>
  <r>
    <s v="Mum-TCL082"/>
    <x v="81"/>
    <x v="1"/>
    <n v="48"/>
    <n v="49"/>
    <n v="68"/>
    <n v="23"/>
    <n v="21"/>
    <n v="209"/>
    <n v="500"/>
    <x v="71"/>
    <n v="0.58199999999999996"/>
  </r>
  <r>
    <s v="Mum-TCL083"/>
    <x v="82"/>
    <x v="2"/>
    <n v="77"/>
    <n v="83"/>
    <n v="64"/>
    <n v="53"/>
    <n v="13"/>
    <n v="290"/>
    <n v="500"/>
    <x v="72"/>
    <n v="0.42"/>
  </r>
  <r>
    <s v="Mum-TCL084"/>
    <x v="83"/>
    <x v="3"/>
    <n v="81"/>
    <n v="63"/>
    <n v="88"/>
    <n v="89"/>
    <n v="63"/>
    <n v="384"/>
    <n v="500"/>
    <x v="73"/>
    <n v="0.23200000000000001"/>
  </r>
  <r>
    <s v="Mum-TCL085"/>
    <x v="84"/>
    <x v="4"/>
    <n v="39"/>
    <n v="87"/>
    <n v="62"/>
    <n v="80"/>
    <n v="81"/>
    <n v="349"/>
    <n v="500"/>
    <x v="74"/>
    <n v="0.30199999999999999"/>
  </r>
  <r>
    <s v="Mum-TCL086"/>
    <x v="85"/>
    <x v="5"/>
    <n v="46"/>
    <n v="19"/>
    <n v="59"/>
    <n v="58"/>
    <n v="33"/>
    <n v="215"/>
    <n v="500"/>
    <x v="75"/>
    <n v="0.56999999999999995"/>
  </r>
  <r>
    <s v="Mum-TCL087"/>
    <x v="86"/>
    <x v="6"/>
    <n v="34"/>
    <n v="15"/>
    <n v="43"/>
    <n v="63"/>
    <n v="54"/>
    <n v="209"/>
    <n v="500"/>
    <x v="71"/>
    <n v="0.58199999999999996"/>
  </r>
  <r>
    <s v="Mum-TCL088"/>
    <x v="87"/>
    <x v="7"/>
    <n v="32"/>
    <n v="79"/>
    <n v="65"/>
    <n v="57"/>
    <n v="73"/>
    <n v="306"/>
    <n v="500"/>
    <x v="13"/>
    <n v="0.38800000000000001"/>
  </r>
  <r>
    <s v="Mum-TCL089"/>
    <x v="88"/>
    <x v="0"/>
    <n v="72"/>
    <n v="82"/>
    <n v="58"/>
    <n v="36"/>
    <n v="33"/>
    <n v="281"/>
    <n v="500"/>
    <x v="68"/>
    <n v="0.438"/>
  </r>
  <r>
    <s v="Mum-TCL090"/>
    <x v="89"/>
    <x v="1"/>
    <n v="11"/>
    <n v="69"/>
    <n v="49"/>
    <n v="90"/>
    <n v="99"/>
    <n v="318"/>
    <n v="500"/>
    <x v="76"/>
    <n v="0.36399999999999999"/>
  </r>
  <r>
    <s v="Mum-TCL091"/>
    <x v="90"/>
    <x v="2"/>
    <n v="80"/>
    <n v="73"/>
    <n v="21"/>
    <n v="72"/>
    <n v="54"/>
    <n v="300"/>
    <n v="500"/>
    <x v="49"/>
    <n v="0.4"/>
  </r>
  <r>
    <s v="Mum-TCL092"/>
    <x v="91"/>
    <x v="3"/>
    <n v="93"/>
    <n v="42"/>
    <n v="38"/>
    <n v="98"/>
    <n v="10"/>
    <n v="281"/>
    <n v="500"/>
    <x v="68"/>
    <n v="0.438"/>
  </r>
  <r>
    <s v="Mum-TCL093"/>
    <x v="92"/>
    <x v="4"/>
    <n v="18"/>
    <n v="80"/>
    <n v="20"/>
    <n v="32"/>
    <n v="95"/>
    <n v="245"/>
    <n v="500"/>
    <x v="67"/>
    <n v="0.51"/>
  </r>
  <r>
    <s v="Mum-TCL094"/>
    <x v="93"/>
    <x v="5"/>
    <n v="96"/>
    <n v="14"/>
    <n v="20"/>
    <n v="31"/>
    <n v="44"/>
    <n v="205"/>
    <n v="500"/>
    <x v="77"/>
    <n v="0.59"/>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799999999999999"/>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400000000000002"/>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799999999999999"/>
  </r>
  <r>
    <s v="Mum-TCL106"/>
    <x v="105"/>
    <x v="1"/>
    <n v="61"/>
    <n v="73"/>
    <n v="34"/>
    <n v="30"/>
    <n v="30"/>
    <n v="228"/>
    <n v="500"/>
    <x v="82"/>
    <n v="0.54400000000000004"/>
  </r>
  <r>
    <s v="Mum-TCL107"/>
    <x v="106"/>
    <x v="2"/>
    <n v="61"/>
    <n v="91"/>
    <n v="53"/>
    <n v="78"/>
    <n v="91"/>
    <n v="374"/>
    <n v="500"/>
    <x v="83"/>
    <n v="0.252"/>
  </r>
  <r>
    <s v="Mum-TCL108"/>
    <x v="107"/>
    <x v="3"/>
    <n v="75"/>
    <n v="53"/>
    <n v="27"/>
    <n v="26"/>
    <n v="30"/>
    <n v="211"/>
    <n v="500"/>
    <x v="84"/>
    <n v="0.57799999999999996"/>
  </r>
  <r>
    <s v="Mum-TCL109"/>
    <x v="108"/>
    <x v="4"/>
    <n v="24"/>
    <n v="31"/>
    <n v="41"/>
    <n v="57"/>
    <n v="83"/>
    <n v="236"/>
    <n v="500"/>
    <x v="85"/>
    <n v="0.52800000000000002"/>
  </r>
  <r>
    <s v="Mum-TCL110"/>
    <x v="109"/>
    <x v="5"/>
    <n v="83"/>
    <n v="62"/>
    <n v="32"/>
    <n v="83"/>
    <n v="95"/>
    <n v="355"/>
    <n v="500"/>
    <x v="86"/>
    <n v="0.28999999999999998"/>
  </r>
  <r>
    <s v="Mum-TCL111"/>
    <x v="110"/>
    <x v="6"/>
    <n v="39"/>
    <n v="52"/>
    <n v="72"/>
    <n v="99"/>
    <n v="58"/>
    <n v="320"/>
    <n v="500"/>
    <x v="87"/>
    <n v="0.36"/>
  </r>
  <r>
    <s v="Mum-TCL112"/>
    <x v="111"/>
    <x v="7"/>
    <n v="93"/>
    <n v="74"/>
    <n v="85"/>
    <n v="47"/>
    <n v="90"/>
    <n v="389"/>
    <n v="500"/>
    <x v="88"/>
    <n v="0.222"/>
  </r>
  <r>
    <s v="Mum-TCL113"/>
    <x v="112"/>
    <x v="0"/>
    <n v="43"/>
    <n v="88"/>
    <n v="35"/>
    <n v="54"/>
    <n v="91"/>
    <n v="311"/>
    <n v="500"/>
    <x v="89"/>
    <n v="0.378"/>
  </r>
  <r>
    <s v="Mum-TCL114"/>
    <x v="113"/>
    <x v="1"/>
    <n v="87"/>
    <n v="15"/>
    <n v="11"/>
    <n v="42"/>
    <n v="88"/>
    <n v="243"/>
    <n v="500"/>
    <x v="90"/>
    <n v="0.51400000000000001"/>
  </r>
  <r>
    <s v="Mum-TCL115"/>
    <x v="114"/>
    <x v="2"/>
    <n v="45"/>
    <n v="45"/>
    <n v="61"/>
    <n v="11"/>
    <n v="52"/>
    <n v="214"/>
    <n v="500"/>
    <x v="31"/>
    <n v="0.57199999999999995"/>
  </r>
  <r>
    <s v="Mum-TCL116"/>
    <x v="115"/>
    <x v="3"/>
    <n v="71"/>
    <n v="42"/>
    <n v="17"/>
    <n v="57"/>
    <n v="96"/>
    <n v="283"/>
    <n v="500"/>
    <x v="91"/>
    <n v="0.434"/>
  </r>
  <r>
    <s v="Mum-TCL117"/>
    <x v="116"/>
    <x v="4"/>
    <n v="26"/>
    <n v="65"/>
    <n v="17"/>
    <n v="28"/>
    <n v="30"/>
    <n v="166"/>
    <n v="500"/>
    <x v="55"/>
    <n v="0.66800000000000004"/>
  </r>
  <r>
    <s v="Mum-TCL118"/>
    <x v="117"/>
    <x v="5"/>
    <n v="26"/>
    <n v="61"/>
    <n v="89"/>
    <n v="71"/>
    <n v="33"/>
    <n v="280"/>
    <n v="500"/>
    <x v="92"/>
    <n v="0.44"/>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400000000000001"/>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8999999999999998"/>
  </r>
  <r>
    <s v="Mum-TCL132"/>
    <x v="131"/>
    <x v="3"/>
    <n v="71"/>
    <n v="21"/>
    <n v="70"/>
    <n v="53"/>
    <n v="49"/>
    <n v="264"/>
    <n v="500"/>
    <x v="33"/>
    <n v="0.47199999999999998"/>
  </r>
  <r>
    <s v="Mum-TCL133"/>
    <x v="132"/>
    <x v="4"/>
    <n v="86"/>
    <n v="60"/>
    <n v="59"/>
    <n v="51"/>
    <n v="90"/>
    <n v="346"/>
    <n v="500"/>
    <x v="99"/>
    <n v="0.308"/>
  </r>
  <r>
    <s v="Mum-TCL134"/>
    <x v="133"/>
    <x v="5"/>
    <n v="68"/>
    <n v="61"/>
    <n v="12"/>
    <n v="41"/>
    <n v="35"/>
    <n v="217"/>
    <n v="500"/>
    <x v="50"/>
    <n v="0.56599999999999995"/>
  </r>
  <r>
    <s v="Mum-TCL135"/>
    <x v="134"/>
    <x v="6"/>
    <n v="65"/>
    <n v="34"/>
    <n v="15"/>
    <n v="86"/>
    <n v="71"/>
    <n v="271"/>
    <n v="500"/>
    <x v="100"/>
    <n v="0.45800000000000002"/>
  </r>
  <r>
    <s v="Mum-TCL136"/>
    <x v="135"/>
    <x v="7"/>
    <n v="91"/>
    <n v="21"/>
    <n v="59"/>
    <n v="85"/>
    <n v="60"/>
    <n v="316"/>
    <n v="500"/>
    <x v="94"/>
    <n v="0.36799999999999999"/>
  </r>
  <r>
    <s v="Mum-TCL137"/>
    <x v="136"/>
    <x v="0"/>
    <n v="73"/>
    <n v="67"/>
    <n v="49"/>
    <n v="56"/>
    <n v="43"/>
    <n v="288"/>
    <n v="500"/>
    <x v="3"/>
    <n v="0.42399999999999999"/>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7"/>
          </reference>
        </references>
      </pivotArea>
    </chartFormat>
    <chartFormat chart="0" format="7">
      <pivotArea type="data" outline="0" fieldPosition="0">
        <references count="2">
          <reference field="4294967294" count="1" selected="0">
            <x v="0"/>
          </reference>
          <reference field="1" count="1" selected="0">
            <x v="49"/>
          </reference>
        </references>
      </pivotArea>
    </chartFormat>
    <chartFormat chart="0" format="8">
      <pivotArea type="data" outline="0" fieldPosition="0">
        <references count="2">
          <reference field="4294967294" count="1" selected="0">
            <x v="0"/>
          </reference>
          <reference field="1" count="1" selected="0">
            <x v="57"/>
          </reference>
        </references>
      </pivotArea>
    </chartFormat>
    <chartFormat chart="0" format="9">
      <pivotArea type="data" outline="0" fieldPosition="0">
        <references count="2">
          <reference field="4294967294" count="1" selected="0">
            <x v="0"/>
          </reference>
          <reference field="1" count="1" selected="0">
            <x v="73"/>
          </reference>
        </references>
      </pivotArea>
    </chartFormat>
    <chartFormat chart="0" format="10">
      <pivotArea type="data" outline="0" fieldPosition="0">
        <references count="2">
          <reference field="4294967294" count="1" selected="0">
            <x v="0"/>
          </reference>
          <reference field="1" count="1" selected="0">
            <x v="90"/>
          </reference>
        </references>
      </pivotArea>
    </chartFormat>
  </chartFormats>
  <pivotTableStyleInfo name="PivotStyleMedium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s>
  <data>
    <tabular pivotCacheId="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StyleDark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52"/>
  <sheetViews>
    <sheetView showGridLines="0" showRowColHeaders="0" tabSelected="1" zoomScale="120" zoomScaleNormal="120" workbookViewId="0">
      <selection activeCell="H2" sqref="H2"/>
    </sheetView>
  </sheetViews>
  <sheetFormatPr defaultRowHeight="14.4" x14ac:dyDescent="0.3"/>
  <cols>
    <col min="1" max="1" width="20.44140625" customWidth="1"/>
    <col min="2" max="2" width="11.88671875" customWidth="1"/>
    <col min="3" max="3" width="2.6640625" customWidth="1"/>
    <col min="4" max="4" width="20.44140625" customWidth="1"/>
    <col min="5" max="5" width="11.88671875" customWidth="1"/>
    <col min="6" max="6" width="2.6640625" customWidth="1"/>
    <col min="7" max="7" width="20" customWidth="1"/>
    <col min="8" max="8" width="21.5546875" customWidth="1"/>
    <col min="9" max="9" width="2.6640625" style="12" customWidth="1"/>
    <col min="10" max="10" width="19.6640625" customWidth="1"/>
    <col min="11" max="11" width="21.77734375" customWidth="1"/>
    <col min="12" max="26" width="7" style="12" customWidth="1"/>
    <col min="27" max="27" width="7" customWidth="1"/>
    <col min="28" max="112" width="7" bestFit="1" customWidth="1"/>
    <col min="113" max="113" width="10.77734375" bestFit="1" customWidth="1"/>
  </cols>
  <sheetData>
    <row r="1" spans="1:11" ht="28.8" customHeight="1" x14ac:dyDescent="0.3">
      <c r="A1" s="12" t="b">
        <v>1</v>
      </c>
      <c r="B1" s="12"/>
      <c r="C1" s="12"/>
      <c r="D1" s="12" t="b">
        <v>0</v>
      </c>
      <c r="E1" s="12"/>
      <c r="F1" s="12"/>
      <c r="G1" s="12" t="b">
        <v>0</v>
      </c>
      <c r="H1" s="12"/>
      <c r="J1" s="12" t="b">
        <v>0</v>
      </c>
      <c r="K1" s="12"/>
    </row>
    <row r="2" spans="1:11" ht="61.8" customHeight="1" x14ac:dyDescent="0.3">
      <c r="A2" s="12"/>
      <c r="B2" s="12"/>
      <c r="C2" s="12"/>
      <c r="D2" s="12"/>
      <c r="E2" s="12"/>
      <c r="F2" s="12"/>
      <c r="G2" s="12"/>
      <c r="H2" s="12"/>
      <c r="J2" s="12"/>
      <c r="K2" s="12"/>
    </row>
    <row r="3" spans="1:11" x14ac:dyDescent="0.3">
      <c r="A3" s="9" t="s">
        <v>1</v>
      </c>
      <c r="B3" t="s">
        <v>302</v>
      </c>
      <c r="C3" s="12"/>
      <c r="D3" s="9" t="s">
        <v>1</v>
      </c>
      <c r="E3" t="s">
        <v>302</v>
      </c>
      <c r="F3" s="12"/>
      <c r="G3" s="9" t="s">
        <v>303</v>
      </c>
      <c r="H3" t="s">
        <v>305</v>
      </c>
      <c r="J3" s="9" t="s">
        <v>303</v>
      </c>
      <c r="K3" t="s">
        <v>304</v>
      </c>
    </row>
    <row r="4" spans="1:11" x14ac:dyDescent="0.3">
      <c r="A4" s="10" t="s">
        <v>281</v>
      </c>
      <c r="B4" s="11">
        <v>355</v>
      </c>
      <c r="C4" s="12"/>
      <c r="D4" s="10" t="s">
        <v>253</v>
      </c>
      <c r="E4" s="11">
        <v>166</v>
      </c>
      <c r="F4" s="12"/>
      <c r="G4" s="10" t="s">
        <v>253</v>
      </c>
      <c r="H4" s="6">
        <v>0.33200000000000002</v>
      </c>
      <c r="J4" s="10" t="s">
        <v>253</v>
      </c>
      <c r="K4" s="6">
        <v>0.66800000000000004</v>
      </c>
    </row>
    <row r="5" spans="1:11" x14ac:dyDescent="0.3">
      <c r="A5" s="10" t="s">
        <v>19</v>
      </c>
      <c r="B5" s="11">
        <v>379</v>
      </c>
      <c r="C5" s="12"/>
      <c r="D5" s="10" t="s">
        <v>165</v>
      </c>
      <c r="E5" s="11">
        <v>143</v>
      </c>
      <c r="F5" s="12"/>
      <c r="G5" s="10" t="s">
        <v>165</v>
      </c>
      <c r="H5" s="6">
        <v>0.28599999999999998</v>
      </c>
      <c r="J5" s="10" t="s">
        <v>165</v>
      </c>
      <c r="K5" s="6">
        <v>0.71399999999999997</v>
      </c>
    </row>
    <row r="6" spans="1:11" x14ac:dyDescent="0.3">
      <c r="A6" s="10" t="s">
        <v>233</v>
      </c>
      <c r="B6" s="11">
        <v>374</v>
      </c>
      <c r="C6" s="12"/>
      <c r="D6" s="10" t="s">
        <v>161</v>
      </c>
      <c r="E6" s="11">
        <v>156</v>
      </c>
      <c r="F6" s="12"/>
      <c r="G6" s="10" t="s">
        <v>161</v>
      </c>
      <c r="H6" s="6">
        <v>0.312</v>
      </c>
      <c r="J6" s="10" t="s">
        <v>161</v>
      </c>
      <c r="K6" s="6">
        <v>0.68799999999999994</v>
      </c>
    </row>
    <row r="7" spans="1:11" x14ac:dyDescent="0.3">
      <c r="A7" s="10" t="s">
        <v>153</v>
      </c>
      <c r="B7" s="11">
        <v>342</v>
      </c>
      <c r="C7" s="12"/>
      <c r="D7" s="10" t="s">
        <v>157</v>
      </c>
      <c r="E7" s="11">
        <v>171</v>
      </c>
      <c r="F7" s="12"/>
      <c r="G7" s="10" t="s">
        <v>157</v>
      </c>
      <c r="H7" s="6">
        <v>0.34200000000000003</v>
      </c>
      <c r="J7" s="10" t="s">
        <v>157</v>
      </c>
      <c r="K7" s="6">
        <v>0.65800000000000003</v>
      </c>
    </row>
    <row r="8" spans="1:11" x14ac:dyDescent="0.3">
      <c r="A8" s="10" t="s">
        <v>73</v>
      </c>
      <c r="B8" s="11">
        <v>357</v>
      </c>
      <c r="C8" s="12"/>
      <c r="D8" s="10" t="s">
        <v>151</v>
      </c>
      <c r="E8" s="11">
        <v>166</v>
      </c>
      <c r="F8" s="12"/>
      <c r="G8" s="10" t="s">
        <v>151</v>
      </c>
      <c r="H8" s="6">
        <v>0.33200000000000002</v>
      </c>
      <c r="J8" s="10" t="s">
        <v>151</v>
      </c>
      <c r="K8" s="6">
        <v>0.66800000000000004</v>
      </c>
    </row>
    <row r="9" spans="1:11" x14ac:dyDescent="0.3">
      <c r="A9" s="12"/>
      <c r="B9" s="12"/>
      <c r="C9" s="12"/>
      <c r="D9" s="12"/>
      <c r="E9" s="12"/>
      <c r="F9" s="12"/>
      <c r="G9" s="12"/>
      <c r="H9" s="12"/>
      <c r="J9" s="12"/>
      <c r="K9" s="12"/>
    </row>
    <row r="10" spans="1:11" x14ac:dyDescent="0.3">
      <c r="A10" s="12"/>
      <c r="B10" s="12"/>
      <c r="C10" s="12"/>
      <c r="D10" s="12"/>
      <c r="E10" s="12"/>
      <c r="F10" s="12"/>
      <c r="G10" s="12"/>
      <c r="H10" s="12"/>
      <c r="J10" s="12"/>
      <c r="K10" s="12"/>
    </row>
    <row r="11" spans="1:11" x14ac:dyDescent="0.3">
      <c r="A11" s="12"/>
      <c r="B11" s="12"/>
      <c r="C11" s="12"/>
      <c r="D11" s="12" t="b">
        <v>0</v>
      </c>
      <c r="E11" s="12"/>
      <c r="F11" s="12"/>
      <c r="G11" s="12"/>
      <c r="H11" s="12"/>
      <c r="J11" s="12"/>
      <c r="K11" s="12"/>
    </row>
    <row r="12" spans="1:11" x14ac:dyDescent="0.3">
      <c r="A12" s="12"/>
      <c r="B12" s="12"/>
      <c r="C12" s="12"/>
      <c r="D12" s="12"/>
      <c r="E12" s="12"/>
      <c r="F12" s="12"/>
      <c r="G12" s="12"/>
      <c r="H12" s="12"/>
      <c r="J12" s="12"/>
      <c r="K12" s="12"/>
    </row>
    <row r="13" spans="1:11" x14ac:dyDescent="0.3">
      <c r="A13" s="12"/>
      <c r="B13" s="12"/>
      <c r="C13" s="12"/>
      <c r="D13" s="12"/>
      <c r="E13" s="12"/>
      <c r="F13" s="12"/>
      <c r="G13" s="12"/>
      <c r="H13" s="12"/>
      <c r="J13" s="12"/>
      <c r="K13" s="12"/>
    </row>
    <row r="14" spans="1:11" x14ac:dyDescent="0.3">
      <c r="A14" s="12"/>
      <c r="B14" s="12"/>
      <c r="C14" s="12"/>
      <c r="D14" s="12"/>
      <c r="E14" s="12"/>
      <c r="F14" s="12"/>
      <c r="G14" s="12"/>
      <c r="H14" s="12"/>
      <c r="J14" s="12"/>
      <c r="K14" s="12"/>
    </row>
    <row r="15" spans="1:11" x14ac:dyDescent="0.3">
      <c r="A15" s="12"/>
      <c r="B15" s="12"/>
      <c r="C15" s="12"/>
      <c r="D15" s="12"/>
      <c r="E15" s="12"/>
      <c r="F15" s="12"/>
      <c r="G15" s="12"/>
      <c r="H15" s="12"/>
      <c r="J15" s="12"/>
      <c r="K15" s="12"/>
    </row>
    <row r="16" spans="1:11" x14ac:dyDescent="0.3">
      <c r="A16" s="12"/>
      <c r="B16" s="12"/>
      <c r="C16" s="12"/>
      <c r="D16" s="12"/>
      <c r="E16" s="12"/>
      <c r="F16" s="12"/>
      <c r="G16" s="12"/>
      <c r="H16" s="12"/>
      <c r="J16" s="12"/>
      <c r="K16" s="12"/>
    </row>
    <row r="17" spans="1:11" x14ac:dyDescent="0.3">
      <c r="A17" s="12"/>
      <c r="B17" s="12"/>
      <c r="C17" s="12"/>
      <c r="D17" s="12"/>
      <c r="E17" s="12"/>
      <c r="F17" s="12"/>
      <c r="G17" s="12"/>
      <c r="H17" s="12"/>
      <c r="J17" s="12"/>
      <c r="K17" s="12"/>
    </row>
    <row r="18" spans="1:11" x14ac:dyDescent="0.3">
      <c r="A18" s="12"/>
      <c r="B18" s="12"/>
      <c r="C18" s="12"/>
      <c r="D18" s="12"/>
      <c r="E18" s="12"/>
      <c r="F18" s="12"/>
      <c r="G18" s="12"/>
      <c r="H18" s="12"/>
      <c r="J18" s="12"/>
      <c r="K18" s="12"/>
    </row>
    <row r="19" spans="1:11" x14ac:dyDescent="0.3">
      <c r="A19" s="12"/>
      <c r="B19" s="12"/>
      <c r="C19" s="12"/>
      <c r="D19" s="12"/>
      <c r="E19" s="12"/>
      <c r="F19" s="12"/>
      <c r="G19" s="12"/>
      <c r="H19" s="12"/>
      <c r="J19" s="12"/>
      <c r="K19" s="12"/>
    </row>
    <row r="20" spans="1:11" x14ac:dyDescent="0.3">
      <c r="A20" s="12"/>
      <c r="B20" s="12"/>
      <c r="C20" s="12"/>
      <c r="D20" s="12"/>
      <c r="E20" s="12"/>
      <c r="F20" s="12"/>
      <c r="G20" s="12"/>
      <c r="H20" s="12"/>
      <c r="J20" s="12"/>
      <c r="K20" s="12"/>
    </row>
    <row r="21" spans="1:11" x14ac:dyDescent="0.3">
      <c r="A21" s="12"/>
      <c r="B21" s="12"/>
      <c r="C21" s="12"/>
      <c r="D21" s="12"/>
      <c r="E21" s="12"/>
      <c r="F21" s="12"/>
      <c r="G21" s="12"/>
      <c r="H21" s="12"/>
      <c r="J21" s="12"/>
      <c r="K21" s="12"/>
    </row>
    <row r="22" spans="1:11" x14ac:dyDescent="0.3">
      <c r="A22" s="12"/>
      <c r="B22" s="12"/>
      <c r="C22" s="12"/>
      <c r="D22" s="12"/>
      <c r="E22" s="12"/>
      <c r="F22" s="12"/>
      <c r="G22" s="12"/>
      <c r="H22" s="12"/>
      <c r="J22" s="12"/>
      <c r="K22" s="12"/>
    </row>
    <row r="23" spans="1:11" x14ac:dyDescent="0.3">
      <c r="A23" s="12"/>
      <c r="B23" s="12"/>
      <c r="C23" s="12"/>
      <c r="D23" s="12"/>
      <c r="E23" s="12"/>
      <c r="F23" s="12"/>
      <c r="G23" s="12"/>
      <c r="H23" s="12"/>
      <c r="J23" s="12"/>
      <c r="K23" s="12"/>
    </row>
    <row r="24" spans="1:11" x14ac:dyDescent="0.3">
      <c r="A24" s="12"/>
      <c r="B24" s="12"/>
      <c r="C24" s="12"/>
      <c r="D24" s="12"/>
      <c r="E24" s="12"/>
      <c r="F24" s="12"/>
      <c r="G24" s="12"/>
      <c r="H24" s="12"/>
      <c r="J24" s="12"/>
      <c r="K24" s="12"/>
    </row>
    <row r="25" spans="1:11" x14ac:dyDescent="0.3">
      <c r="A25" s="12"/>
      <c r="B25" s="12"/>
      <c r="C25" s="12"/>
      <c r="D25" s="12"/>
      <c r="E25" s="12"/>
      <c r="F25" s="12"/>
      <c r="G25" s="12"/>
      <c r="H25" s="12"/>
      <c r="J25" s="12"/>
      <c r="K25" s="12"/>
    </row>
    <row r="26" spans="1:11" x14ac:dyDescent="0.3">
      <c r="A26" s="12"/>
      <c r="B26" s="12"/>
      <c r="C26" s="12"/>
      <c r="D26" s="12"/>
      <c r="E26" s="12"/>
      <c r="F26" s="12"/>
      <c r="G26" s="12"/>
      <c r="H26" s="12"/>
      <c r="J26" s="12"/>
      <c r="K26" s="12"/>
    </row>
    <row r="27" spans="1:11" x14ac:dyDescent="0.3">
      <c r="A27" s="12"/>
      <c r="B27" s="12"/>
      <c r="C27" s="12"/>
      <c r="D27" s="12"/>
      <c r="E27" s="12"/>
      <c r="F27" s="12"/>
      <c r="G27" s="12"/>
      <c r="H27" s="12"/>
      <c r="J27" s="12"/>
      <c r="K27" s="12"/>
    </row>
    <row r="28" spans="1:11" x14ac:dyDescent="0.3">
      <c r="A28" s="12"/>
      <c r="B28" s="12"/>
      <c r="C28" s="12"/>
      <c r="D28" s="12"/>
      <c r="E28" s="12"/>
      <c r="F28" s="12"/>
      <c r="G28" s="12"/>
      <c r="H28" s="12"/>
      <c r="J28" s="12"/>
      <c r="K28" s="12"/>
    </row>
    <row r="29" spans="1:11" x14ac:dyDescent="0.3">
      <c r="A29" s="12"/>
      <c r="B29" s="12"/>
      <c r="C29" s="12"/>
      <c r="D29" s="12"/>
      <c r="E29" s="12"/>
      <c r="F29" s="12"/>
      <c r="G29" s="12"/>
      <c r="H29" s="12"/>
      <c r="J29" s="12"/>
      <c r="K29" s="12"/>
    </row>
    <row r="30" spans="1:11" x14ac:dyDescent="0.3">
      <c r="A30" s="12"/>
      <c r="B30" s="12"/>
      <c r="C30" s="12"/>
      <c r="D30" s="12"/>
      <c r="E30" s="12"/>
      <c r="F30" s="12"/>
      <c r="G30" s="12"/>
      <c r="H30" s="12"/>
      <c r="J30" s="12"/>
      <c r="K30" s="12"/>
    </row>
    <row r="31" spans="1:11" x14ac:dyDescent="0.3">
      <c r="A31" s="12"/>
      <c r="B31" s="12"/>
      <c r="C31" s="12"/>
      <c r="D31" s="12"/>
      <c r="E31" s="12"/>
      <c r="F31" s="12"/>
      <c r="G31" s="12"/>
      <c r="H31" s="12"/>
      <c r="J31" s="12"/>
      <c r="K31" s="12"/>
    </row>
    <row r="32" spans="1:11" x14ac:dyDescent="0.3">
      <c r="A32" s="12"/>
      <c r="B32" s="12"/>
      <c r="C32" s="12"/>
      <c r="D32" s="12"/>
      <c r="E32" s="12"/>
      <c r="F32" s="12"/>
      <c r="G32" s="12"/>
      <c r="H32" s="12"/>
      <c r="J32" s="12"/>
      <c r="K32" s="12"/>
    </row>
    <row r="33" spans="1:11" x14ac:dyDescent="0.3">
      <c r="A33" s="12"/>
      <c r="B33" s="12"/>
      <c r="C33" s="12"/>
      <c r="D33" s="12"/>
      <c r="E33" s="12"/>
      <c r="F33" s="12"/>
      <c r="G33" s="12"/>
      <c r="H33" s="12"/>
      <c r="J33" s="12"/>
      <c r="K33" s="12"/>
    </row>
    <row r="34" spans="1:11" x14ac:dyDescent="0.3">
      <c r="A34" s="12"/>
      <c r="B34" s="12"/>
      <c r="C34" s="12"/>
      <c r="D34" s="12"/>
      <c r="E34" s="12"/>
      <c r="F34" s="12"/>
      <c r="G34" s="12"/>
      <c r="H34" s="12"/>
      <c r="J34" s="12"/>
      <c r="K34" s="12"/>
    </row>
    <row r="35" spans="1:11" x14ac:dyDescent="0.3">
      <c r="A35" s="12"/>
      <c r="B35" s="12"/>
      <c r="C35" s="12"/>
      <c r="D35" s="12"/>
      <c r="E35" s="12"/>
      <c r="F35" s="12"/>
      <c r="G35" s="12"/>
      <c r="H35" s="12"/>
      <c r="J35" s="12"/>
      <c r="K35" s="12"/>
    </row>
    <row r="36" spans="1:11" x14ac:dyDescent="0.3">
      <c r="A36" s="12"/>
      <c r="B36" s="12"/>
      <c r="C36" s="12"/>
      <c r="D36" s="12"/>
      <c r="E36" s="12"/>
      <c r="F36" s="12"/>
      <c r="G36" s="12"/>
      <c r="H36" s="12"/>
      <c r="J36" s="12"/>
      <c r="K36" s="12"/>
    </row>
    <row r="37" spans="1:11" x14ac:dyDescent="0.3">
      <c r="A37" s="12"/>
      <c r="B37" s="12"/>
      <c r="C37" s="12"/>
      <c r="D37" s="12"/>
      <c r="E37" s="12"/>
      <c r="F37" s="12"/>
      <c r="G37" s="12"/>
      <c r="H37" s="12"/>
      <c r="J37" s="12"/>
      <c r="K37" s="12"/>
    </row>
    <row r="38" spans="1:11" x14ac:dyDescent="0.3">
      <c r="A38" s="12"/>
      <c r="B38" s="12"/>
      <c r="C38" s="12"/>
      <c r="D38" s="12"/>
      <c r="E38" s="12"/>
      <c r="F38" s="12"/>
      <c r="G38" s="12"/>
      <c r="H38" s="12"/>
      <c r="J38" s="12"/>
      <c r="K38" s="12"/>
    </row>
    <row r="39" spans="1:11" x14ac:dyDescent="0.3">
      <c r="A39" s="12"/>
      <c r="B39" s="12"/>
      <c r="C39" s="12"/>
      <c r="D39" s="12"/>
      <c r="E39" s="12"/>
      <c r="F39" s="12"/>
      <c r="G39" s="12"/>
      <c r="H39" s="12"/>
      <c r="J39" s="12"/>
      <c r="K39" s="12"/>
    </row>
    <row r="40" spans="1:11" x14ac:dyDescent="0.3">
      <c r="A40" s="12"/>
      <c r="B40" s="12"/>
      <c r="C40" s="12"/>
      <c r="D40" s="12"/>
      <c r="E40" s="12"/>
      <c r="F40" s="12"/>
      <c r="G40" s="12"/>
      <c r="H40" s="12"/>
      <c r="J40" s="12"/>
      <c r="K40" s="12"/>
    </row>
    <row r="41" spans="1:11" x14ac:dyDescent="0.3">
      <c r="A41" s="12"/>
      <c r="B41" s="12"/>
      <c r="C41" s="12"/>
      <c r="D41" s="12"/>
      <c r="E41" s="12"/>
      <c r="F41" s="12"/>
      <c r="G41" s="12"/>
      <c r="H41" s="12"/>
      <c r="J41" s="12"/>
      <c r="K41" s="12"/>
    </row>
    <row r="42" spans="1:11" x14ac:dyDescent="0.3">
      <c r="A42" s="12"/>
      <c r="B42" s="12"/>
      <c r="C42" s="12"/>
      <c r="D42" s="12"/>
      <c r="E42" s="12"/>
      <c r="F42" s="12"/>
      <c r="G42" s="12"/>
      <c r="H42" s="12"/>
      <c r="J42" s="12"/>
      <c r="K42" s="12"/>
    </row>
    <row r="43" spans="1:11" x14ac:dyDescent="0.3">
      <c r="A43" s="12"/>
      <c r="B43" s="12"/>
      <c r="C43" s="12"/>
      <c r="D43" s="12"/>
      <c r="E43" s="12"/>
      <c r="F43" s="12"/>
      <c r="G43" s="12"/>
      <c r="H43" s="12"/>
      <c r="J43" s="12"/>
      <c r="K43" s="12"/>
    </row>
    <row r="44" spans="1:11" x14ac:dyDescent="0.3">
      <c r="A44" s="12"/>
      <c r="B44" s="12"/>
      <c r="C44" s="12"/>
      <c r="D44" s="12"/>
      <c r="E44" s="12"/>
      <c r="F44" s="12"/>
      <c r="G44" s="12"/>
      <c r="H44" s="12"/>
      <c r="J44" s="12"/>
      <c r="K44" s="12"/>
    </row>
    <row r="45" spans="1:11" x14ac:dyDescent="0.3">
      <c r="A45" s="12"/>
      <c r="B45" s="12"/>
      <c r="C45" s="12"/>
      <c r="D45" s="12"/>
      <c r="E45" s="12"/>
      <c r="F45" s="12"/>
      <c r="G45" s="12"/>
      <c r="H45" s="12"/>
      <c r="J45" s="12"/>
      <c r="K45" s="12"/>
    </row>
    <row r="46" spans="1:11" x14ac:dyDescent="0.3">
      <c r="A46" s="12"/>
      <c r="B46" s="12"/>
      <c r="C46" s="12"/>
      <c r="D46" s="12"/>
      <c r="E46" s="12"/>
      <c r="F46" s="12"/>
      <c r="G46" s="12"/>
      <c r="H46" s="12"/>
      <c r="J46" s="12"/>
      <c r="K46" s="12"/>
    </row>
    <row r="47" spans="1:11" x14ac:dyDescent="0.3">
      <c r="A47" s="12"/>
      <c r="B47" s="12"/>
      <c r="C47" s="12"/>
      <c r="D47" s="12"/>
      <c r="E47" s="12"/>
      <c r="F47" s="12"/>
      <c r="G47" s="12"/>
      <c r="H47" s="12"/>
      <c r="J47" s="12"/>
      <c r="K47" s="12"/>
    </row>
    <row r="48" spans="1:11" x14ac:dyDescent="0.3">
      <c r="A48" s="12"/>
      <c r="B48" s="12"/>
      <c r="C48" s="12"/>
      <c r="D48" s="12"/>
      <c r="E48" s="12"/>
      <c r="F48" s="12"/>
      <c r="G48" s="12"/>
      <c r="H48" s="12"/>
      <c r="J48" s="12"/>
      <c r="K48" s="12"/>
    </row>
    <row r="49" spans="1:11" x14ac:dyDescent="0.3">
      <c r="A49" s="12"/>
      <c r="B49" s="12"/>
      <c r="C49" s="12"/>
      <c r="D49" s="12"/>
      <c r="E49" s="12"/>
      <c r="F49" s="12"/>
      <c r="G49" s="12"/>
      <c r="H49" s="12"/>
      <c r="J49" s="12"/>
      <c r="K49" s="12"/>
    </row>
    <row r="50" spans="1:11" x14ac:dyDescent="0.3">
      <c r="A50" s="12"/>
      <c r="B50" s="12"/>
      <c r="C50" s="12"/>
      <c r="D50" s="12"/>
      <c r="E50" s="12"/>
      <c r="F50" s="12"/>
      <c r="G50" s="12"/>
      <c r="H50" s="12"/>
      <c r="J50" s="12"/>
      <c r="K50" s="12"/>
    </row>
    <row r="51" spans="1:11" x14ac:dyDescent="0.3">
      <c r="A51" s="12"/>
      <c r="B51" s="12"/>
      <c r="C51" s="12"/>
      <c r="D51" s="12"/>
      <c r="E51" s="12"/>
      <c r="F51" s="12"/>
      <c r="G51" s="12"/>
      <c r="H51" s="12"/>
      <c r="J51" s="12"/>
      <c r="K51" s="12"/>
    </row>
    <row r="52" spans="1:11" x14ac:dyDescent="0.3">
      <c r="A52" s="12"/>
      <c r="B52" s="12"/>
      <c r="C52" s="12"/>
      <c r="D52" s="12"/>
      <c r="E52" s="12"/>
      <c r="F52" s="12"/>
      <c r="G52" s="12"/>
      <c r="H52" s="12"/>
      <c r="J52" s="12"/>
      <c r="K52"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3" r:id="rId8" name="Check Box 5">
              <controlPr defaultSize="0" autoFill="0" autoLine="0" autoPict="0" macro="[0]!slicerconnection">
                <anchor moveWithCells="1">
                  <from>
                    <xdr:col>3</xdr:col>
                    <xdr:colOff>480060</xdr:colOff>
                    <xdr:row>1</xdr:row>
                    <xdr:rowOff>441960</xdr:rowOff>
                  </from>
                  <to>
                    <xdr:col>3</xdr:col>
                    <xdr:colOff>1188720</xdr:colOff>
                    <xdr:row>1</xdr:row>
                    <xdr:rowOff>655320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6</xdr:col>
                    <xdr:colOff>571500</xdr:colOff>
                    <xdr:row>1</xdr:row>
                    <xdr:rowOff>441960</xdr:rowOff>
                  </from>
                  <to>
                    <xdr:col>6</xdr:col>
                    <xdr:colOff>1280160</xdr:colOff>
                    <xdr:row>1</xdr:row>
                    <xdr:rowOff>655320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9</xdr:col>
                    <xdr:colOff>381000</xdr:colOff>
                    <xdr:row>1</xdr:row>
                    <xdr:rowOff>441960</xdr:rowOff>
                  </from>
                  <to>
                    <xdr:col>9</xdr:col>
                    <xdr:colOff>1089660</xdr:colOff>
                    <xdr:row>1</xdr:row>
                    <xdr:rowOff>655320</xdr:rowOff>
                  </to>
                </anchor>
              </controlPr>
            </control>
          </mc:Choice>
        </mc:AlternateContent>
        <mc:AlternateContent xmlns:mc="http://schemas.openxmlformats.org/markup-compatibility/2006">
          <mc:Choice Requires="x14">
            <control shapeId="2056" r:id="rId11" name="Check Box 8">
              <controlPr defaultSize="0" autoFill="0" autoLine="0" autoPict="0" macro="[0]!slicerconnection">
                <anchor moveWithCells="1">
                  <from>
                    <xdr:col>0</xdr:col>
                    <xdr:colOff>160020</xdr:colOff>
                    <xdr:row>1</xdr:row>
                    <xdr:rowOff>388620</xdr:rowOff>
                  </from>
                  <to>
                    <xdr:col>0</xdr:col>
                    <xdr:colOff>1196340</xdr:colOff>
                    <xdr:row>1</xdr:row>
                    <xdr:rowOff>739140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sqref="A1:L142"/>
    </sheetView>
  </sheetViews>
  <sheetFormatPr defaultRowHeight="14.4" x14ac:dyDescent="0.3"/>
  <cols>
    <col min="1" max="1" width="14" customWidth="1"/>
    <col min="2" max="2" width="19.33203125" customWidth="1"/>
    <col min="3" max="3" width="7.6640625" customWidth="1"/>
    <col min="4" max="9" width="5" customWidth="1"/>
    <col min="10" max="10" width="6" customWidth="1"/>
    <col min="11" max="11" width="8.77734375" customWidth="1"/>
    <col min="12" max="12" width="7.777343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15"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15"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15"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15"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15" thickBot="1" x14ac:dyDescent="0.35">
      <c r="A7" s="3" t="s">
        <v>27</v>
      </c>
      <c r="B7" s="4" t="s">
        <v>28</v>
      </c>
      <c r="C7" s="4" t="s">
        <v>29</v>
      </c>
      <c r="D7" s="5">
        <v>86</v>
      </c>
      <c r="E7" s="5">
        <v>31</v>
      </c>
      <c r="F7" s="5">
        <v>23</v>
      </c>
      <c r="G7" s="5">
        <v>48</v>
      </c>
      <c r="H7" s="5">
        <v>77</v>
      </c>
      <c r="I7" s="5">
        <v>265</v>
      </c>
      <c r="J7" s="5">
        <v>500</v>
      </c>
      <c r="K7" s="7">
        <v>0.53</v>
      </c>
      <c r="L7" s="7">
        <v>0.47</v>
      </c>
    </row>
    <row r="8" spans="1:12" ht="15"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15" thickBot="1" x14ac:dyDescent="0.35">
      <c r="A9" s="3" t="s">
        <v>33</v>
      </c>
      <c r="B9" s="4" t="s">
        <v>34</v>
      </c>
      <c r="C9" s="4" t="s">
        <v>35</v>
      </c>
      <c r="D9" s="5">
        <v>73</v>
      </c>
      <c r="E9" s="5">
        <v>97</v>
      </c>
      <c r="F9" s="5">
        <v>38</v>
      </c>
      <c r="G9" s="5">
        <v>24</v>
      </c>
      <c r="H9" s="5">
        <v>53</v>
      </c>
      <c r="I9" s="5">
        <v>285</v>
      </c>
      <c r="J9" s="5">
        <v>500</v>
      </c>
      <c r="K9" s="7">
        <v>0.56999999999999995</v>
      </c>
      <c r="L9" s="7">
        <v>0.43</v>
      </c>
    </row>
    <row r="10" spans="1:12" ht="15" thickBot="1" x14ac:dyDescent="0.35">
      <c r="A10" s="3" t="s">
        <v>36</v>
      </c>
      <c r="B10" s="4" t="s">
        <v>37</v>
      </c>
      <c r="C10" s="4" t="s">
        <v>14</v>
      </c>
      <c r="D10" s="5">
        <v>54</v>
      </c>
      <c r="E10" s="5">
        <v>26</v>
      </c>
      <c r="F10" s="5">
        <v>53</v>
      </c>
      <c r="G10" s="5">
        <v>36</v>
      </c>
      <c r="H10" s="5">
        <v>20</v>
      </c>
      <c r="I10" s="5">
        <v>189</v>
      </c>
      <c r="J10" s="5">
        <v>500</v>
      </c>
      <c r="K10" s="7">
        <v>0.378</v>
      </c>
      <c r="L10" s="7">
        <v>0.622</v>
      </c>
    </row>
    <row r="11" spans="1:12" ht="15"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15"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15" thickBot="1" x14ac:dyDescent="0.35">
      <c r="A13" s="3" t="s">
        <v>42</v>
      </c>
      <c r="B13" s="4" t="s">
        <v>43</v>
      </c>
      <c r="C13" s="4" t="s">
        <v>23</v>
      </c>
      <c r="D13" s="5">
        <v>79</v>
      </c>
      <c r="E13" s="5">
        <v>99</v>
      </c>
      <c r="F13" s="5">
        <v>95</v>
      </c>
      <c r="G13" s="5">
        <v>12</v>
      </c>
      <c r="H13" s="5">
        <v>91</v>
      </c>
      <c r="I13" s="5">
        <v>376</v>
      </c>
      <c r="J13" s="5">
        <v>500</v>
      </c>
      <c r="K13" s="7">
        <v>0.752</v>
      </c>
      <c r="L13" s="7">
        <v>0.248</v>
      </c>
    </row>
    <row r="14" spans="1:12" ht="15"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15"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15"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15"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15"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15"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15"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15"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15"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15"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15"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15"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15"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15"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15"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15"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15"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122</v>
      </c>
      <c r="B53" s="4" t="s">
        <v>123</v>
      </c>
      <c r="C53" s="4" t="s">
        <v>23</v>
      </c>
      <c r="D53" s="5">
        <v>65</v>
      </c>
      <c r="E53" s="5">
        <v>67</v>
      </c>
      <c r="F53" s="5">
        <v>72</v>
      </c>
      <c r="G53" s="5">
        <v>22</v>
      </c>
      <c r="H53" s="5">
        <v>23</v>
      </c>
      <c r="I53" s="5">
        <v>249</v>
      </c>
      <c r="J53" s="5">
        <v>500</v>
      </c>
      <c r="K53" s="7">
        <v>0.498</v>
      </c>
      <c r="L53" s="7">
        <v>0.502</v>
      </c>
    </row>
    <row r="54" spans="1:12" ht="15"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15"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15"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15"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15"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15"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15" thickBot="1" x14ac:dyDescent="0.35">
      <c r="A65" s="3" t="s">
        <v>146</v>
      </c>
      <c r="B65" s="4" t="s">
        <v>147</v>
      </c>
      <c r="C65" s="4" t="s">
        <v>35</v>
      </c>
      <c r="D65" s="5">
        <v>75</v>
      </c>
      <c r="E65" s="5">
        <v>75</v>
      </c>
      <c r="F65" s="5">
        <v>89</v>
      </c>
      <c r="G65" s="5">
        <v>97</v>
      </c>
      <c r="H65" s="5">
        <v>49</v>
      </c>
      <c r="I65" s="5">
        <v>385</v>
      </c>
      <c r="J65" s="5">
        <v>500</v>
      </c>
      <c r="K65" s="7">
        <v>0.77</v>
      </c>
      <c r="L65" s="7">
        <v>0.23</v>
      </c>
    </row>
    <row r="66" spans="1:12" ht="15"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15"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15"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15"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15"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15"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15"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15"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15"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15"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15" thickBot="1" x14ac:dyDescent="0.35">
      <c r="A92" s="3" t="s">
        <v>200</v>
      </c>
      <c r="B92" s="4" t="s">
        <v>201</v>
      </c>
      <c r="C92" s="4" t="s">
        <v>20</v>
      </c>
      <c r="D92" s="5">
        <v>80</v>
      </c>
      <c r="E92" s="5">
        <v>73</v>
      </c>
      <c r="F92" s="5">
        <v>21</v>
      </c>
      <c r="G92" s="5">
        <v>72</v>
      </c>
      <c r="H92" s="5">
        <v>54</v>
      </c>
      <c r="I92" s="5">
        <v>300</v>
      </c>
      <c r="J92" s="5">
        <v>500</v>
      </c>
      <c r="K92" s="7">
        <v>0.6</v>
      </c>
      <c r="L92" s="7">
        <v>0.4</v>
      </c>
    </row>
    <row r="93" spans="1:12" ht="15"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15"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15"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15"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15"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2026-01-29T17:43:53Z</dcterms:created>
  <dcterms:modified xsi:type="dcterms:W3CDTF">2026-01-30T19:45:09Z</dcterms:modified>
</cp:coreProperties>
</file>